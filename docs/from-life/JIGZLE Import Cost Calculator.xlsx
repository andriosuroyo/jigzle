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s" sheetId="1" state="visible" r:id="rId3"/>
    <sheet name="Calculator" sheetId="2" state="visible" r:id="rId4"/>
    <sheet name="Case Stud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calc</author>
  </authors>
  <commentList>
    <comment ref="F4" authorId="0">
      <text>
        <r>
          <rPr>
            <sz val="10"/>
            <rFont val="Arial"/>
            <family val="2"/>
          </rPr>
          <t xml:space="preserve">Source: JIGZLE Order CSV (Order: Data tab), 2026-05-22; sum of ITEM COST x QTY</t>
        </r>
      </text>
    </comment>
    <comment ref="F5" authorId="0">
      <text>
        <r>
          <rPr>
            <sz val="10"/>
            <rFont val="Arial"/>
            <family val="2"/>
          </rPr>
          <t xml:space="preserve">Source: JIGZLE Order CSV (Order: Data tab), 2026-05-22; sum of ITEM COST x QTY</t>
        </r>
      </text>
    </comment>
    <comment ref="F6" authorId="0">
      <text>
        <r>
          <rPr>
            <sz val="10"/>
            <rFont val="Arial"/>
            <family val="2"/>
          </rPr>
          <t xml:space="preserve">Source: JIGZLE Order CSV (Order: Data tab), 2026-05-22; sum of ITEM COST x QTY</t>
        </r>
      </text>
    </comment>
    <comment ref="F7" authorId="0">
      <text>
        <r>
          <rPr>
            <sz val="10"/>
            <rFont val="Arial"/>
            <family val="2"/>
          </rPr>
          <t xml:space="preserve">Source: JIGZLE Order CSV (Order: Data tab), 2026-05-22; sum of ITEM COST x QTY</t>
        </r>
      </text>
    </comment>
    <comment ref="F8" authorId="0">
      <text>
        <r>
          <rPr>
            <sz val="10"/>
            <rFont val="Arial"/>
            <family val="2"/>
          </rPr>
          <t xml:space="preserve">Source: JIGZLE Order CSV (Order: Data tab), 2026-05-22; sum of ITEM COST x QTY</t>
        </r>
      </text>
    </comment>
    <comment ref="F9" authorId="0">
      <text>
        <r>
          <rPr>
            <sz val="10"/>
            <rFont val="Arial"/>
            <family val="2"/>
          </rPr>
          <t xml:space="preserve">Source: JIGZLE Order CSV (Order: Data tab), 2026-05-22; sum of ITEM COST x QTY</t>
        </r>
      </text>
    </comment>
    <comment ref="F10" authorId="0">
      <text>
        <r>
          <rPr>
            <sz val="10"/>
            <rFont val="Arial"/>
            <family val="2"/>
          </rPr>
          <t xml:space="preserve">Source: JIGZLE Order CSV (Order: Data tab), 2026-05-22; sum of ITEM COST x QTY</t>
        </r>
      </text>
    </comment>
    <comment ref="F11" authorId="0">
      <text>
        <r>
          <rPr>
            <sz val="10"/>
            <rFont val="Arial"/>
            <family val="2"/>
          </rPr>
          <t xml:space="preserve">Source: JIGZLE Order CSV (Order: Data tab), 2026-05-22; sum of ITEM COST x QTY</t>
        </r>
      </text>
    </comment>
  </commentList>
</comments>
</file>

<file path=xl/sharedStrings.xml><?xml version="1.0" encoding="utf-8"?>
<sst xmlns="http://schemas.openxmlformats.org/spreadsheetml/2006/main" count="108" uniqueCount="102">
  <si>
    <t xml:space="preserve">Rates &amp; Assumptions</t>
  </si>
  <si>
    <t xml:space="preserve">Edit the yellow cells to update every calculation in this workbook.</t>
  </si>
  <si>
    <t xml:space="preserve">Item</t>
  </si>
  <si>
    <t xml:space="preserve">Value</t>
  </si>
  <si>
    <t xml:space="preserve">Unit</t>
  </si>
  <si>
    <t xml:space="preserve">Note</t>
  </si>
  <si>
    <t xml:space="preserve">CNY -&gt; IDR</t>
  </si>
  <si>
    <t xml:space="preserve">IDR per 1 CNY</t>
  </si>
  <si>
    <t xml:space="preserve">Update to current FX</t>
  </si>
  <si>
    <t xml:space="preserve">USD -&gt; IDR</t>
  </si>
  <si>
    <t xml:space="preserve">IDR per 1 USD</t>
  </si>
  <si>
    <t xml:space="preserve">Reference only</t>
  </si>
  <si>
    <t xml:space="preserve">UPS shipping rate</t>
  </si>
  <si>
    <t xml:space="preserve">CNY per kg</t>
  </si>
  <si>
    <t xml:space="preserve">Billed on chargeable (dim) weight</t>
  </si>
  <si>
    <t xml:space="preserve">MTE rate</t>
  </si>
  <si>
    <t xml:space="preserve">IDR per kg</t>
  </si>
  <si>
    <t xml:space="preserve">All-in: tax + customs + delivery</t>
  </si>
  <si>
    <t xml:space="preserve">UPS package fee</t>
  </si>
  <si>
    <t xml:space="preserve">IDR per package</t>
  </si>
  <si>
    <t xml:space="preserve">Per box; box cap 30kg real</t>
  </si>
  <si>
    <t xml:space="preserve">UPS warehouse fee</t>
  </si>
  <si>
    <t xml:space="preserve">IDR per shipment</t>
  </si>
  <si>
    <t xml:space="preserve">Flat, regardless of #packages</t>
  </si>
  <si>
    <t xml:space="preserve">Package weight cap</t>
  </si>
  <si>
    <t xml:space="preserve">kg real</t>
  </si>
  <si>
    <t xml:space="preserve">Splits into extra packages above this</t>
  </si>
  <si>
    <t xml:space="preserve">Volumetric divisor</t>
  </si>
  <si>
    <t xml:space="preserve">cm3 per kg</t>
  </si>
  <si>
    <t xml:space="preserve">dim kg = LxWxH / divisor</t>
  </si>
  <si>
    <t xml:space="preserve">MTE volumetric discount</t>
  </si>
  <si>
    <t xml:space="preserve">fraction</t>
  </si>
  <si>
    <t xml:space="preserve">Voluminous excess billed at half</t>
  </si>
  <si>
    <t xml:space="preserve">Import tax - current</t>
  </si>
  <si>
    <t xml:space="preserve">of (freight+goods)</t>
  </si>
  <si>
    <t xml:space="preserve">UPS only; MTE is tax-inclusive</t>
  </si>
  <si>
    <t xml:space="preserve">Import tax - scenario</t>
  </si>
  <si>
    <t xml:space="preserve">Possible future rate</t>
  </si>
  <si>
    <t xml:space="preserve">Shipment Cost Calculator — UPS vs MTE</t>
  </si>
  <si>
    <t xml:space="preserve">Enter the blue cells: cost of goods, tax rate, and one row per box (real weight + dimensions).</t>
  </si>
  <si>
    <t xml:space="preserve">Cost of goods (CNY)</t>
  </si>
  <si>
    <t xml:space="preserve">Tax rate (UPS)</t>
  </si>
  <si>
    <t xml:space="preserve">Change to 0.25 to test the higher tax</t>
  </si>
  <si>
    <t xml:space="preserve">Box</t>
  </si>
  <si>
    <t xml:space="preserve">Real wt (g)</t>
  </si>
  <si>
    <t xml:space="preserve">L (cm)</t>
  </si>
  <si>
    <t xml:space="preserve">W (cm)</t>
  </si>
  <si>
    <t xml:space="preserve">H (cm)</t>
  </si>
  <si>
    <t xml:space="preserve">Real kg</t>
  </si>
  <si>
    <t xml:space="preserve">Vol kg</t>
  </si>
  <si>
    <t xml:space="preserve">UPS kg</t>
  </si>
  <si>
    <t xml:space="preserve">MTE kg</t>
  </si>
  <si>
    <t xml:space="preserve">Box 1</t>
  </si>
  <si>
    <t xml:space="preserve">Box 2</t>
  </si>
  <si>
    <t xml:space="preserve">Box 3</t>
  </si>
  <si>
    <t xml:space="preserve">Box 4</t>
  </si>
  <si>
    <t xml:space="preserve">Box 5</t>
  </si>
  <si>
    <t xml:space="preserve">RESULTS</t>
  </si>
  <si>
    <t xml:space="preserve">Packages</t>
  </si>
  <si>
    <t xml:space="preserve">UPS chargeable kg</t>
  </si>
  <si>
    <t xml:space="preserve">MTE chargeable kg</t>
  </si>
  <si>
    <t xml:space="preserve">Cost of goods (IDR)</t>
  </si>
  <si>
    <t xml:space="preserve">UPS freight</t>
  </si>
  <si>
    <t xml:space="preserve">UPS import tax</t>
  </si>
  <si>
    <t xml:space="preserve">UPS package fees</t>
  </si>
  <si>
    <t xml:space="preserve">UPS TOTAL</t>
  </si>
  <si>
    <t xml:space="preserve">MTE TOTAL</t>
  </si>
  <si>
    <t xml:space="preserve">Verdict</t>
  </si>
  <si>
    <t xml:space="preserve">SUB 180–187 — UPS vs MTE (data from JIGZLE Order CSV, 2026-05-22)</t>
  </si>
  <si>
    <t xml:space="preserve">Ship</t>
  </si>
  <si>
    <t xml:space="preserve">Box details</t>
  </si>
  <si>
    <t xml:space="preserve">Pkgs</t>
  </si>
  <si>
    <t xml:space="preserve">COGS (CNY)</t>
  </si>
  <si>
    <t xml:space="preserve">COGS (IDR)</t>
  </si>
  <si>
    <t xml:space="preserve">Freight</t>
  </si>
  <si>
    <t xml:space="preserve">Tax 19%</t>
  </si>
  <si>
    <t xml:space="preserve">Pkg fee</t>
  </si>
  <si>
    <t xml:space="preserve">Whse</t>
  </si>
  <si>
    <t xml:space="preserve">UPS @19%</t>
  </si>
  <si>
    <t xml:space="preserve">UPS @25%</t>
  </si>
  <si>
    <t xml:space="preserve">MTE</t>
  </si>
  <si>
    <t xml:space="preserve">Cheaper</t>
  </si>
  <si>
    <t xml:space="preserve">Save @19%</t>
  </si>
  <si>
    <t xml:space="preserve">Save @25%</t>
  </si>
  <si>
    <t xml:space="preserve">SUB 180</t>
  </si>
  <si>
    <t xml:space="preserve">14500g, 57x44x42</t>
  </si>
  <si>
    <t xml:space="preserve">SUB 181</t>
  </si>
  <si>
    <t xml:space="preserve">10910g, 57x43x42</t>
  </si>
  <si>
    <t xml:space="preserve">SUB 182</t>
  </si>
  <si>
    <t xml:space="preserve">10500g, 57x42x43</t>
  </si>
  <si>
    <t xml:space="preserve">SUB 183</t>
  </si>
  <si>
    <t xml:space="preserve">A:18000g 58x54x55 + B:13000g 58x47x45</t>
  </si>
  <si>
    <t xml:space="preserve">SUB 184</t>
  </si>
  <si>
    <t xml:space="preserve">12500g, 57x48x32</t>
  </si>
  <si>
    <t xml:space="preserve">SUB 185</t>
  </si>
  <si>
    <t xml:space="preserve">8910g, 57x43x39</t>
  </si>
  <si>
    <t xml:space="preserve">SUB 186</t>
  </si>
  <si>
    <t xml:space="preserve">11720g, 57x42x41</t>
  </si>
  <si>
    <t xml:space="preserve">SUB 187</t>
  </si>
  <si>
    <t xml:space="preserve">14343g, 51x50x45</t>
  </si>
  <si>
    <t xml:space="preserve">TOTAL</t>
  </si>
  <si>
    <t xml:space="preserve">Method: UPS bills max(real, dim) at full rate + 19% tax on (freight+goods) + pkg fee/box + flat warehouse. MTE = [real + 50% x (dim-real)] x rate, all-in. Weights rounded UP to whole kg. dim kg = LxWxH/5000.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</si>
</sst>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0%"/>
    <numFmt numFmtId="168" formatCode="#,##0.00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2604</v>
      </c>
      <c r="C5" s="6" t="s">
        <v>7</v>
      </c>
      <c r="D5" s="7" t="s">
        <v>8</v>
      </c>
    </row>
    <row r="6" customFormat="false" ht="15" hidden="false" customHeight="false" outlineLevel="0" collapsed="false">
      <c r="A6" s="4" t="s">
        <v>9</v>
      </c>
      <c r="B6" s="5" t="n">
        <v>17650</v>
      </c>
      <c r="C6" s="6" t="s">
        <v>10</v>
      </c>
      <c r="D6" s="7" t="s">
        <v>11</v>
      </c>
    </row>
    <row r="7" customFormat="false" ht="15" hidden="false" customHeight="false" outlineLevel="0" collapsed="false">
      <c r="A7" s="4" t="s">
        <v>12</v>
      </c>
      <c r="B7" s="8" t="n">
        <v>40</v>
      </c>
      <c r="C7" s="6" t="s">
        <v>13</v>
      </c>
      <c r="D7" s="7" t="s">
        <v>14</v>
      </c>
    </row>
    <row r="8" customFormat="false" ht="15" hidden="false" customHeight="false" outlineLevel="0" collapsed="false">
      <c r="A8" s="4" t="s">
        <v>15</v>
      </c>
      <c r="B8" s="5" t="n">
        <v>205000</v>
      </c>
      <c r="C8" s="6" t="s">
        <v>16</v>
      </c>
      <c r="D8" s="7" t="s">
        <v>17</v>
      </c>
    </row>
    <row r="9" customFormat="false" ht="15" hidden="false" customHeight="false" outlineLevel="0" collapsed="false">
      <c r="A9" s="4" t="s">
        <v>18</v>
      </c>
      <c r="B9" s="5" t="n">
        <v>200000</v>
      </c>
      <c r="C9" s="6" t="s">
        <v>19</v>
      </c>
      <c r="D9" s="7" t="s">
        <v>20</v>
      </c>
    </row>
    <row r="10" customFormat="false" ht="15" hidden="false" customHeight="false" outlineLevel="0" collapsed="false">
      <c r="A10" s="4" t="s">
        <v>21</v>
      </c>
      <c r="B10" s="5" t="n">
        <v>200000</v>
      </c>
      <c r="C10" s="6" t="s">
        <v>22</v>
      </c>
      <c r="D10" s="7" t="s">
        <v>23</v>
      </c>
    </row>
    <row r="11" customFormat="false" ht="15" hidden="false" customHeight="false" outlineLevel="0" collapsed="false">
      <c r="A11" s="4" t="s">
        <v>24</v>
      </c>
      <c r="B11" s="8" t="n">
        <v>30</v>
      </c>
      <c r="C11" s="6" t="s">
        <v>25</v>
      </c>
      <c r="D11" s="7" t="s">
        <v>26</v>
      </c>
    </row>
    <row r="12" customFormat="false" ht="15" hidden="false" customHeight="false" outlineLevel="0" collapsed="false">
      <c r="A12" s="4" t="s">
        <v>27</v>
      </c>
      <c r="B12" s="5" t="n">
        <v>5000</v>
      </c>
      <c r="C12" s="6" t="s">
        <v>28</v>
      </c>
      <c r="D12" s="7" t="s">
        <v>29</v>
      </c>
    </row>
    <row r="13" customFormat="false" ht="15" hidden="false" customHeight="false" outlineLevel="0" collapsed="false">
      <c r="A13" s="4" t="s">
        <v>30</v>
      </c>
      <c r="B13" s="9" t="n">
        <v>0.5</v>
      </c>
      <c r="C13" s="6" t="s">
        <v>31</v>
      </c>
      <c r="D13" s="7" t="s">
        <v>32</v>
      </c>
    </row>
    <row r="14" customFormat="false" ht="15" hidden="false" customHeight="false" outlineLevel="0" collapsed="false">
      <c r="A14" s="4" t="s">
        <v>33</v>
      </c>
      <c r="B14" s="9" t="n">
        <v>0.19</v>
      </c>
      <c r="C14" s="6" t="s">
        <v>34</v>
      </c>
      <c r="D14" s="7" t="s">
        <v>35</v>
      </c>
    </row>
    <row r="15" customFormat="false" ht="15" hidden="false" customHeight="false" outlineLevel="0" collapsed="false">
      <c r="A15" s="4" t="s">
        <v>36</v>
      </c>
      <c r="B15" s="9" t="n">
        <v>0.25</v>
      </c>
      <c r="C15" s="6" t="s">
        <v>34</v>
      </c>
      <c r="D15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5" min="3" style="0" width="8"/>
    <col collapsed="false" customWidth="true" hidden="false" outlineLevel="0" max="9" min="6" style="0" width="9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10" t="s">
        <v>40</v>
      </c>
      <c r="B4" s="11" t="n">
        <v>1345.56</v>
      </c>
    </row>
    <row r="5" customFormat="false" ht="15" hidden="false" customHeight="false" outlineLevel="0" collapsed="false">
      <c r="A5" s="10" t="s">
        <v>41</v>
      </c>
      <c r="B5" s="12" t="n">
        <v>0.19</v>
      </c>
      <c r="C5" s="2" t="s">
        <v>42</v>
      </c>
    </row>
    <row r="7" customFormat="false" ht="15" hidden="false" customHeight="false" outlineLevel="0" collapsed="false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</row>
    <row r="8" customFormat="false" ht="15" hidden="false" customHeight="false" outlineLevel="0" collapsed="false">
      <c r="A8" s="6" t="s">
        <v>52</v>
      </c>
      <c r="B8" s="13" t="n">
        <v>11720</v>
      </c>
      <c r="C8" s="13" t="n">
        <v>57</v>
      </c>
      <c r="D8" s="13" t="n">
        <v>42</v>
      </c>
      <c r="E8" s="13" t="n">
        <v>41</v>
      </c>
      <c r="F8" s="6" t="n">
        <f aca="false">ROUNDUP(N(B8)/1000,0)</f>
        <v>12</v>
      </c>
      <c r="G8" s="6" t="n">
        <f aca="false">ROUNDUP(N(C8)*N(D8)*N(E8)/Rates!$B$12,0)</f>
        <v>20</v>
      </c>
      <c r="H8" s="6" t="n">
        <f aca="false">MAX(F8,G8)</f>
        <v>20</v>
      </c>
      <c r="I8" s="6" t="n">
        <f aca="false">F8+MAX(0,G8-F8)*Rates!$B$13</f>
        <v>16</v>
      </c>
    </row>
    <row r="9" customFormat="false" ht="15" hidden="false" customHeight="false" outlineLevel="0" collapsed="false">
      <c r="A9" s="6" t="s">
        <v>53</v>
      </c>
      <c r="B9" s="13"/>
      <c r="C9" s="13"/>
      <c r="D9" s="13"/>
      <c r="E9" s="13"/>
      <c r="F9" s="6" t="n">
        <f aca="false">ROUNDUP(N(B9)/1000,0)</f>
        <v>0</v>
      </c>
      <c r="G9" s="6" t="n">
        <f aca="false">ROUNDUP(N(C9)*N(D9)*N(E9)/Rates!$B$12,0)</f>
        <v>0</v>
      </c>
      <c r="H9" s="6" t="n">
        <f aca="false">MAX(F9,G9)</f>
        <v>0</v>
      </c>
      <c r="I9" s="6" t="n">
        <f aca="false">F9+MAX(0,G9-F9)*Rates!$B$13</f>
        <v>0</v>
      </c>
    </row>
    <row r="10" customFormat="false" ht="15" hidden="false" customHeight="false" outlineLevel="0" collapsed="false">
      <c r="A10" s="6" t="s">
        <v>54</v>
      </c>
      <c r="B10" s="13"/>
      <c r="C10" s="13"/>
      <c r="D10" s="13"/>
      <c r="E10" s="13"/>
      <c r="F10" s="6" t="n">
        <f aca="false">ROUNDUP(N(B10)/1000,0)</f>
        <v>0</v>
      </c>
      <c r="G10" s="6" t="n">
        <f aca="false">ROUNDUP(N(C10)*N(D10)*N(E10)/Rates!$B$12,0)</f>
        <v>0</v>
      </c>
      <c r="H10" s="6" t="n">
        <f aca="false">MAX(F10,G10)</f>
        <v>0</v>
      </c>
      <c r="I10" s="6" t="n">
        <f aca="false">F10+MAX(0,G10-F10)*Rates!$B$13</f>
        <v>0</v>
      </c>
    </row>
    <row r="11" customFormat="false" ht="15" hidden="false" customHeight="false" outlineLevel="0" collapsed="false">
      <c r="A11" s="6" t="s">
        <v>55</v>
      </c>
      <c r="B11" s="13"/>
      <c r="C11" s="13"/>
      <c r="D11" s="13"/>
      <c r="E11" s="13"/>
      <c r="F11" s="6" t="n">
        <f aca="false">ROUNDUP(N(B11)/1000,0)</f>
        <v>0</v>
      </c>
      <c r="G11" s="6" t="n">
        <f aca="false">ROUNDUP(N(C11)*N(D11)*N(E11)/Rates!$B$12,0)</f>
        <v>0</v>
      </c>
      <c r="H11" s="6" t="n">
        <f aca="false">MAX(F11,G11)</f>
        <v>0</v>
      </c>
      <c r="I11" s="6" t="n">
        <f aca="false">F11+MAX(0,G11-F11)*Rates!$B$13</f>
        <v>0</v>
      </c>
    </row>
    <row r="12" customFormat="false" ht="15" hidden="false" customHeight="false" outlineLevel="0" collapsed="false">
      <c r="A12" s="6" t="s">
        <v>56</v>
      </c>
      <c r="B12" s="13"/>
      <c r="C12" s="13"/>
      <c r="D12" s="13"/>
      <c r="E12" s="13"/>
      <c r="F12" s="6" t="n">
        <f aca="false">ROUNDUP(N(B12)/1000,0)</f>
        <v>0</v>
      </c>
      <c r="G12" s="6" t="n">
        <f aca="false">ROUNDUP(N(C12)*N(D12)*N(E12)/Rates!$B$12,0)</f>
        <v>0</v>
      </c>
      <c r="H12" s="6" t="n">
        <f aca="false">MAX(F12,G12)</f>
        <v>0</v>
      </c>
      <c r="I12" s="6" t="n">
        <f aca="false">F12+MAX(0,G12-F12)*Rates!$B$13</f>
        <v>0</v>
      </c>
    </row>
    <row r="14" customFormat="false" ht="15" hidden="false" customHeight="false" outlineLevel="0" collapsed="false">
      <c r="A14" s="14" t="s">
        <v>57</v>
      </c>
    </row>
    <row r="15" customFormat="false" ht="15" hidden="false" customHeight="false" outlineLevel="0" collapsed="false">
      <c r="A15" s="10" t="s">
        <v>58</v>
      </c>
      <c r="B15" s="15" t="n">
        <f aca="false">COUNTIF(B8:B12,"&gt;0")</f>
        <v>1</v>
      </c>
    </row>
    <row r="16" customFormat="false" ht="15" hidden="false" customHeight="false" outlineLevel="0" collapsed="false">
      <c r="A16" s="10" t="s">
        <v>59</v>
      </c>
      <c r="B16" s="15" t="n">
        <f aca="false">SUM(H8:H12)</f>
        <v>20</v>
      </c>
    </row>
    <row r="17" customFormat="false" ht="15" hidden="false" customHeight="false" outlineLevel="0" collapsed="false">
      <c r="A17" s="10" t="s">
        <v>60</v>
      </c>
      <c r="B17" s="15" t="n">
        <f aca="false">ROUNDUP(SUM(I8:I12),0)</f>
        <v>16</v>
      </c>
    </row>
    <row r="18" customFormat="false" ht="15" hidden="false" customHeight="false" outlineLevel="0" collapsed="false">
      <c r="A18" s="10" t="s">
        <v>61</v>
      </c>
      <c r="B18" s="16" t="n">
        <f aca="false">B4*Rates!$B$5</f>
        <v>3503838.24</v>
      </c>
    </row>
    <row r="19" customFormat="false" ht="15" hidden="false" customHeight="false" outlineLevel="0" collapsed="false">
      <c r="A19" s="10" t="s">
        <v>62</v>
      </c>
      <c r="B19" s="16" t="n">
        <f aca="false">B16*Rates!$B$7*Rates!$B$5</f>
        <v>2083200</v>
      </c>
    </row>
    <row r="20" customFormat="false" ht="15" hidden="false" customHeight="false" outlineLevel="0" collapsed="false">
      <c r="A20" s="10" t="s">
        <v>63</v>
      </c>
      <c r="B20" s="16" t="n">
        <f aca="false">B5*(B19+B18)</f>
        <v>1061537.2656</v>
      </c>
    </row>
    <row r="21" customFormat="false" ht="15" hidden="false" customHeight="false" outlineLevel="0" collapsed="false">
      <c r="A21" s="10" t="s">
        <v>64</v>
      </c>
      <c r="B21" s="16" t="n">
        <f aca="false">B15*Rates!$B$9</f>
        <v>200000</v>
      </c>
    </row>
    <row r="22" customFormat="false" ht="15" hidden="false" customHeight="false" outlineLevel="0" collapsed="false">
      <c r="A22" s="10" t="s">
        <v>21</v>
      </c>
      <c r="B22" s="17" t="n">
        <f aca="false">Rates!$B$10</f>
        <v>200000</v>
      </c>
    </row>
    <row r="23" customFormat="false" ht="15" hidden="false" customHeight="false" outlineLevel="0" collapsed="false">
      <c r="A23" s="10" t="s">
        <v>65</v>
      </c>
      <c r="B23" s="18" t="n">
        <f aca="false">B19+B20+B21+B22</f>
        <v>3544737.2656</v>
      </c>
    </row>
    <row r="24" customFormat="false" ht="15" hidden="false" customHeight="false" outlineLevel="0" collapsed="false">
      <c r="A24" s="10" t="s">
        <v>66</v>
      </c>
      <c r="B24" s="18" t="n">
        <f aca="false">B17*Rates!$B$8</f>
        <v>3280000</v>
      </c>
    </row>
    <row r="25" customFormat="false" ht="39.55" hidden="false" customHeight="false" outlineLevel="0" collapsed="false">
      <c r="A25" s="10" t="s">
        <v>67</v>
      </c>
      <c r="B25" s="19" t="str">
        <f aca="false">IF(B24&lt;B23,"MTE",IF(B24&gt;B23,"UPS","TIE"))&amp;" cheaper by IDR "&amp;TEXT(ABS(B23-B24),"#,##0")</f>
        <v>MTE cheaper by IDR 264,737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7"/>
    <col collapsed="false" customWidth="true" hidden="false" outlineLevel="0" max="5" min="5" style="0" width="6"/>
    <col collapsed="false" customWidth="true" hidden="false" outlineLevel="0" max="19" min="6" style="0" width="11"/>
  </cols>
  <sheetData>
    <row r="1" customFormat="false" ht="17.35" hidden="false" customHeight="false" outlineLevel="0" collapsed="false">
      <c r="A1" s="1" t="s">
        <v>68</v>
      </c>
    </row>
    <row r="3" customFormat="false" ht="26.85" hidden="false" customHeight="false" outlineLevel="0" collapsed="false">
      <c r="A3" s="20" t="s">
        <v>69</v>
      </c>
      <c r="B3" s="20" t="s">
        <v>70</v>
      </c>
      <c r="C3" s="20" t="s">
        <v>48</v>
      </c>
      <c r="D3" s="20" t="s">
        <v>49</v>
      </c>
      <c r="E3" s="20" t="s">
        <v>71</v>
      </c>
      <c r="F3" s="20" t="s">
        <v>72</v>
      </c>
      <c r="G3" s="20" t="s">
        <v>50</v>
      </c>
      <c r="H3" s="20" t="s">
        <v>51</v>
      </c>
      <c r="I3" s="20" t="s">
        <v>73</v>
      </c>
      <c r="J3" s="20" t="s">
        <v>74</v>
      </c>
      <c r="K3" s="20" t="s">
        <v>75</v>
      </c>
      <c r="L3" s="20" t="s">
        <v>76</v>
      </c>
      <c r="M3" s="20" t="s">
        <v>77</v>
      </c>
      <c r="N3" s="20" t="s">
        <v>78</v>
      </c>
      <c r="O3" s="20" t="s">
        <v>79</v>
      </c>
      <c r="P3" s="20" t="s">
        <v>80</v>
      </c>
      <c r="Q3" s="20" t="s">
        <v>81</v>
      </c>
      <c r="R3" s="20" t="s">
        <v>82</v>
      </c>
      <c r="S3" s="20" t="s">
        <v>83</v>
      </c>
    </row>
    <row r="4" customFormat="false" ht="15" hidden="false" customHeight="false" outlineLevel="0" collapsed="false">
      <c r="A4" s="4" t="s">
        <v>84</v>
      </c>
      <c r="B4" s="21" t="s">
        <v>85</v>
      </c>
      <c r="C4" s="22" t="n">
        <v>15</v>
      </c>
      <c r="D4" s="22" t="n">
        <v>22</v>
      </c>
      <c r="E4" s="22" t="n">
        <v>1</v>
      </c>
      <c r="F4" s="23" t="n">
        <v>2172.96</v>
      </c>
      <c r="G4" s="24" t="n">
        <f aca="false">MAX(C4,D4)</f>
        <v>22</v>
      </c>
      <c r="H4" s="24" t="n">
        <f aca="false">ROUNDUP(C4+MAX(0,D4-C4)*Rates!$B$13,0)</f>
        <v>19</v>
      </c>
      <c r="I4" s="24" t="n">
        <f aca="false">F4*Rates!$B$5</f>
        <v>5658387.84</v>
      </c>
      <c r="J4" s="24" t="n">
        <f aca="false">G4*Rates!$B$7*Rates!$B$5</f>
        <v>2291520</v>
      </c>
      <c r="K4" s="24" t="n">
        <f aca="false">Rates!$B$14*(J4+I4)</f>
        <v>1510482.4896</v>
      </c>
      <c r="L4" s="24" t="n">
        <f aca="false">E4*Rates!$B$9</f>
        <v>200000</v>
      </c>
      <c r="M4" s="24" t="n">
        <f aca="false">Rates!$B$10</f>
        <v>200000</v>
      </c>
      <c r="N4" s="24" t="n">
        <f aca="false">J4+K4+L4+M4</f>
        <v>4202002.4896</v>
      </c>
      <c r="O4" s="24" t="n">
        <f aca="false">J4+Rates!$B$15*(J4+I4)+L4+M4</f>
        <v>4678996.96</v>
      </c>
      <c r="P4" s="24" t="n">
        <f aca="false">H4*Rates!$B$8</f>
        <v>3895000</v>
      </c>
      <c r="Q4" s="25" t="str">
        <f aca="false">IF(P4&lt;N4,"MTE","UPS")</f>
        <v>MTE</v>
      </c>
      <c r="R4" s="24" t="n">
        <f aca="false">N4-P4</f>
        <v>307002.4896</v>
      </c>
      <c r="S4" s="24" t="n">
        <f aca="false">O4-P4</f>
        <v>783996.96</v>
      </c>
    </row>
    <row r="5" customFormat="false" ht="15" hidden="false" customHeight="false" outlineLevel="0" collapsed="false">
      <c r="A5" s="4" t="s">
        <v>86</v>
      </c>
      <c r="B5" s="21" t="s">
        <v>87</v>
      </c>
      <c r="C5" s="22" t="n">
        <v>11</v>
      </c>
      <c r="D5" s="22" t="n">
        <v>21</v>
      </c>
      <c r="E5" s="22" t="n">
        <v>1</v>
      </c>
      <c r="F5" s="23" t="n">
        <v>2162.4</v>
      </c>
      <c r="G5" s="24" t="n">
        <f aca="false">MAX(C5,D5)</f>
        <v>21</v>
      </c>
      <c r="H5" s="24" t="n">
        <f aca="false">ROUNDUP(C5+MAX(0,D5-C5)*Rates!$B$13,0)</f>
        <v>16</v>
      </c>
      <c r="I5" s="24" t="n">
        <f aca="false">F5*Rates!$B$5</f>
        <v>5630889.6</v>
      </c>
      <c r="J5" s="24" t="n">
        <f aca="false">G5*Rates!$B$7*Rates!$B$5</f>
        <v>2187360</v>
      </c>
      <c r="K5" s="24" t="n">
        <f aca="false">Rates!$B$14*(J5+I5)</f>
        <v>1485467.424</v>
      </c>
      <c r="L5" s="24" t="n">
        <f aca="false">E5*Rates!$B$9</f>
        <v>200000</v>
      </c>
      <c r="M5" s="24" t="n">
        <f aca="false">Rates!$B$10</f>
        <v>200000</v>
      </c>
      <c r="N5" s="24" t="n">
        <f aca="false">J5+K5+L5+M5</f>
        <v>4072827.424</v>
      </c>
      <c r="O5" s="24" t="n">
        <f aca="false">J5+Rates!$B$15*(J5+I5)+L5+M5</f>
        <v>4541922.4</v>
      </c>
      <c r="P5" s="24" t="n">
        <f aca="false">H5*Rates!$B$8</f>
        <v>3280000</v>
      </c>
      <c r="Q5" s="25" t="str">
        <f aca="false">IF(P5&lt;N5,"MTE","UPS")</f>
        <v>MTE</v>
      </c>
      <c r="R5" s="24" t="n">
        <f aca="false">N5-P5</f>
        <v>792827.424</v>
      </c>
      <c r="S5" s="24" t="n">
        <f aca="false">O5-P5</f>
        <v>1261922.4</v>
      </c>
    </row>
    <row r="6" customFormat="false" ht="15" hidden="false" customHeight="false" outlineLevel="0" collapsed="false">
      <c r="A6" s="4" t="s">
        <v>88</v>
      </c>
      <c r="B6" s="21" t="s">
        <v>89</v>
      </c>
      <c r="C6" s="22" t="n">
        <v>11</v>
      </c>
      <c r="D6" s="22" t="n">
        <v>21</v>
      </c>
      <c r="E6" s="22" t="n">
        <v>1</v>
      </c>
      <c r="F6" s="23" t="n">
        <v>1605.68</v>
      </c>
      <c r="G6" s="24" t="n">
        <f aca="false">MAX(C6,D6)</f>
        <v>21</v>
      </c>
      <c r="H6" s="24" t="n">
        <f aca="false">ROUNDUP(C6+MAX(0,D6-C6)*Rates!$B$13,0)</f>
        <v>16</v>
      </c>
      <c r="I6" s="24" t="n">
        <f aca="false">F6*Rates!$B$5</f>
        <v>4181190.72</v>
      </c>
      <c r="J6" s="24" t="n">
        <f aca="false">G6*Rates!$B$7*Rates!$B$5</f>
        <v>2187360</v>
      </c>
      <c r="K6" s="24" t="n">
        <f aca="false">Rates!$B$14*(J6+I6)</f>
        <v>1210024.6368</v>
      </c>
      <c r="L6" s="24" t="n">
        <f aca="false">E6*Rates!$B$9</f>
        <v>200000</v>
      </c>
      <c r="M6" s="24" t="n">
        <f aca="false">Rates!$B$10</f>
        <v>200000</v>
      </c>
      <c r="N6" s="24" t="n">
        <f aca="false">J6+K6+L6+M6</f>
        <v>3797384.6368</v>
      </c>
      <c r="O6" s="24" t="n">
        <f aca="false">J6+Rates!$B$15*(J6+I6)+L6+M6</f>
        <v>4179497.68</v>
      </c>
      <c r="P6" s="24" t="n">
        <f aca="false">H6*Rates!$B$8</f>
        <v>3280000</v>
      </c>
      <c r="Q6" s="25" t="str">
        <f aca="false">IF(P6&lt;N6,"MTE","UPS")</f>
        <v>MTE</v>
      </c>
      <c r="R6" s="24" t="n">
        <f aca="false">N6-P6</f>
        <v>517384.6368</v>
      </c>
      <c r="S6" s="24" t="n">
        <f aca="false">O6-P6</f>
        <v>899497.68</v>
      </c>
    </row>
    <row r="7" customFormat="false" ht="15" hidden="false" customHeight="false" outlineLevel="0" collapsed="false">
      <c r="A7" s="4" t="s">
        <v>90</v>
      </c>
      <c r="B7" s="21" t="s">
        <v>91</v>
      </c>
      <c r="C7" s="22" t="n">
        <v>31</v>
      </c>
      <c r="D7" s="22" t="n">
        <v>60</v>
      </c>
      <c r="E7" s="22" t="n">
        <v>2</v>
      </c>
      <c r="F7" s="23" t="n">
        <v>3545.35</v>
      </c>
      <c r="G7" s="24" t="n">
        <f aca="false">MAX(C7,D7)</f>
        <v>60</v>
      </c>
      <c r="H7" s="24" t="n">
        <f aca="false">ROUNDUP(C7+MAX(0,D7-C7)*Rates!$B$13,0)</f>
        <v>46</v>
      </c>
      <c r="I7" s="24" t="n">
        <f aca="false">F7*Rates!$B$5</f>
        <v>9232091.4</v>
      </c>
      <c r="J7" s="24" t="n">
        <f aca="false">G7*Rates!$B$7*Rates!$B$5</f>
        <v>6249600</v>
      </c>
      <c r="K7" s="24" t="n">
        <f aca="false">Rates!$B$14*(J7+I7)</f>
        <v>2941521.366</v>
      </c>
      <c r="L7" s="24" t="n">
        <f aca="false">E7*Rates!$B$9</f>
        <v>400000</v>
      </c>
      <c r="M7" s="24" t="n">
        <f aca="false">Rates!$B$10</f>
        <v>200000</v>
      </c>
      <c r="N7" s="24" t="n">
        <f aca="false">J7+K7+L7+M7</f>
        <v>9791121.366</v>
      </c>
      <c r="O7" s="24" t="n">
        <f aca="false">J7+Rates!$B$15*(J7+I7)+L7+M7</f>
        <v>10720022.85</v>
      </c>
      <c r="P7" s="24" t="n">
        <f aca="false">H7*Rates!$B$8</f>
        <v>9430000</v>
      </c>
      <c r="Q7" s="25" t="str">
        <f aca="false">IF(P7&lt;N7,"MTE","UPS")</f>
        <v>MTE</v>
      </c>
      <c r="R7" s="24" t="n">
        <f aca="false">N7-P7</f>
        <v>361121.366</v>
      </c>
      <c r="S7" s="24" t="n">
        <f aca="false">O7-P7</f>
        <v>1290022.85</v>
      </c>
    </row>
    <row r="8" customFormat="false" ht="15" hidden="false" customHeight="false" outlineLevel="0" collapsed="false">
      <c r="A8" s="4" t="s">
        <v>92</v>
      </c>
      <c r="B8" s="21" t="s">
        <v>93</v>
      </c>
      <c r="C8" s="22" t="n">
        <v>13</v>
      </c>
      <c r="D8" s="22" t="n">
        <v>18</v>
      </c>
      <c r="E8" s="22" t="n">
        <v>1</v>
      </c>
      <c r="F8" s="23" t="n">
        <v>2224.95</v>
      </c>
      <c r="G8" s="24" t="n">
        <f aca="false">MAX(C8,D8)</f>
        <v>18</v>
      </c>
      <c r="H8" s="24" t="n">
        <f aca="false">ROUNDUP(C8+MAX(0,D8-C8)*Rates!$B$13,0)</f>
        <v>16</v>
      </c>
      <c r="I8" s="24" t="n">
        <f aca="false">F8*Rates!$B$5</f>
        <v>5793769.8</v>
      </c>
      <c r="J8" s="24" t="n">
        <f aca="false">G8*Rates!$B$7*Rates!$B$5</f>
        <v>1874880</v>
      </c>
      <c r="K8" s="24" t="n">
        <f aca="false">Rates!$B$14*(J8+I8)</f>
        <v>1457043.462</v>
      </c>
      <c r="L8" s="24" t="n">
        <f aca="false">E8*Rates!$B$9</f>
        <v>200000</v>
      </c>
      <c r="M8" s="24" t="n">
        <f aca="false">Rates!$B$10</f>
        <v>200000</v>
      </c>
      <c r="N8" s="24" t="n">
        <f aca="false">J8+K8+L8+M8</f>
        <v>3731923.462</v>
      </c>
      <c r="O8" s="24" t="n">
        <f aca="false">J8+Rates!$B$15*(J8+I8)+L8+M8</f>
        <v>4192042.45</v>
      </c>
      <c r="P8" s="24" t="n">
        <f aca="false">H8*Rates!$B$8</f>
        <v>3280000</v>
      </c>
      <c r="Q8" s="25" t="str">
        <f aca="false">IF(P8&lt;N8,"MTE","UPS")</f>
        <v>MTE</v>
      </c>
      <c r="R8" s="24" t="n">
        <f aca="false">N8-P8</f>
        <v>451923.462</v>
      </c>
      <c r="S8" s="24" t="n">
        <f aca="false">O8-P8</f>
        <v>912042.45</v>
      </c>
    </row>
    <row r="9" customFormat="false" ht="15" hidden="false" customHeight="false" outlineLevel="0" collapsed="false">
      <c r="A9" s="4" t="s">
        <v>94</v>
      </c>
      <c r="B9" s="21" t="s">
        <v>95</v>
      </c>
      <c r="C9" s="22" t="n">
        <v>9</v>
      </c>
      <c r="D9" s="22" t="n">
        <v>20</v>
      </c>
      <c r="E9" s="22" t="n">
        <v>1</v>
      </c>
      <c r="F9" s="23" t="n">
        <v>1832.6</v>
      </c>
      <c r="G9" s="24" t="n">
        <f aca="false">MAX(C9,D9)</f>
        <v>20</v>
      </c>
      <c r="H9" s="24" t="n">
        <f aca="false">ROUNDUP(C9+MAX(0,D9-C9)*Rates!$B$13,0)</f>
        <v>15</v>
      </c>
      <c r="I9" s="24" t="n">
        <f aca="false">F9*Rates!$B$5</f>
        <v>4772090.4</v>
      </c>
      <c r="J9" s="24" t="n">
        <f aca="false">G9*Rates!$B$7*Rates!$B$5</f>
        <v>2083200</v>
      </c>
      <c r="K9" s="24" t="n">
        <f aca="false">Rates!$B$14*(J9+I9)</f>
        <v>1302505.176</v>
      </c>
      <c r="L9" s="24" t="n">
        <f aca="false">E9*Rates!$B$9</f>
        <v>200000</v>
      </c>
      <c r="M9" s="24" t="n">
        <f aca="false">Rates!$B$10</f>
        <v>200000</v>
      </c>
      <c r="N9" s="24" t="n">
        <f aca="false">J9+K9+L9+M9</f>
        <v>3785705.176</v>
      </c>
      <c r="O9" s="24" t="n">
        <f aca="false">J9+Rates!$B$15*(J9+I9)+L9+M9</f>
        <v>4197022.6</v>
      </c>
      <c r="P9" s="24" t="n">
        <f aca="false">H9*Rates!$B$8</f>
        <v>3075000</v>
      </c>
      <c r="Q9" s="25" t="str">
        <f aca="false">IF(P9&lt;N9,"MTE","UPS")</f>
        <v>MTE</v>
      </c>
      <c r="R9" s="24" t="n">
        <f aca="false">N9-P9</f>
        <v>710705.176</v>
      </c>
      <c r="S9" s="24" t="n">
        <f aca="false">O9-P9</f>
        <v>1122022.6</v>
      </c>
    </row>
    <row r="10" customFormat="false" ht="15" hidden="false" customHeight="false" outlineLevel="0" collapsed="false">
      <c r="A10" s="4" t="s">
        <v>96</v>
      </c>
      <c r="B10" s="21" t="s">
        <v>97</v>
      </c>
      <c r="C10" s="22" t="n">
        <v>12</v>
      </c>
      <c r="D10" s="22" t="n">
        <v>20</v>
      </c>
      <c r="E10" s="22" t="n">
        <v>1</v>
      </c>
      <c r="F10" s="23" t="n">
        <v>1345.56</v>
      </c>
      <c r="G10" s="24" t="n">
        <f aca="false">MAX(C10,D10)</f>
        <v>20</v>
      </c>
      <c r="H10" s="24" t="n">
        <f aca="false">ROUNDUP(C10+MAX(0,D10-C10)*Rates!$B$13,0)</f>
        <v>16</v>
      </c>
      <c r="I10" s="24" t="n">
        <f aca="false">F10*Rates!$B$5</f>
        <v>3503838.24</v>
      </c>
      <c r="J10" s="24" t="n">
        <f aca="false">G10*Rates!$B$7*Rates!$B$5</f>
        <v>2083200</v>
      </c>
      <c r="K10" s="24" t="n">
        <f aca="false">Rates!$B$14*(J10+I10)</f>
        <v>1061537.2656</v>
      </c>
      <c r="L10" s="24" t="n">
        <f aca="false">E10*Rates!$B$9</f>
        <v>200000</v>
      </c>
      <c r="M10" s="24" t="n">
        <f aca="false">Rates!$B$10</f>
        <v>200000</v>
      </c>
      <c r="N10" s="24" t="n">
        <f aca="false">J10+K10+L10+M10</f>
        <v>3544737.2656</v>
      </c>
      <c r="O10" s="24" t="n">
        <f aca="false">J10+Rates!$B$15*(J10+I10)+L10+M10</f>
        <v>3879959.56</v>
      </c>
      <c r="P10" s="24" t="n">
        <f aca="false">H10*Rates!$B$8</f>
        <v>3280000</v>
      </c>
      <c r="Q10" s="25" t="str">
        <f aca="false">IF(P10&lt;N10,"MTE","UPS")</f>
        <v>MTE</v>
      </c>
      <c r="R10" s="24" t="n">
        <f aca="false">N10-P10</f>
        <v>264737.2656</v>
      </c>
      <c r="S10" s="24" t="n">
        <f aca="false">O10-P10</f>
        <v>599959.56</v>
      </c>
    </row>
    <row r="11" customFormat="false" ht="15" hidden="false" customHeight="false" outlineLevel="0" collapsed="false">
      <c r="A11" s="4" t="s">
        <v>98</v>
      </c>
      <c r="B11" s="21" t="s">
        <v>99</v>
      </c>
      <c r="C11" s="22" t="n">
        <v>15</v>
      </c>
      <c r="D11" s="22" t="n">
        <v>23</v>
      </c>
      <c r="E11" s="22" t="n">
        <v>1</v>
      </c>
      <c r="F11" s="23" t="n">
        <v>1507.85</v>
      </c>
      <c r="G11" s="24" t="n">
        <f aca="false">MAX(C11,D11)</f>
        <v>23</v>
      </c>
      <c r="H11" s="24" t="n">
        <f aca="false">ROUNDUP(C11+MAX(0,D11-C11)*Rates!$B$13,0)</f>
        <v>19</v>
      </c>
      <c r="I11" s="24" t="n">
        <f aca="false">F11*Rates!$B$5</f>
        <v>3926441.4</v>
      </c>
      <c r="J11" s="24" t="n">
        <f aca="false">G11*Rates!$B$7*Rates!$B$5</f>
        <v>2395680</v>
      </c>
      <c r="K11" s="24" t="n">
        <f aca="false">Rates!$B$14*(J11+I11)</f>
        <v>1201203.066</v>
      </c>
      <c r="L11" s="24" t="n">
        <f aca="false">E11*Rates!$B$9</f>
        <v>200000</v>
      </c>
      <c r="M11" s="24" t="n">
        <f aca="false">Rates!$B$10</f>
        <v>200000</v>
      </c>
      <c r="N11" s="24" t="n">
        <f aca="false">J11+K11+L11+M11</f>
        <v>3996883.066</v>
      </c>
      <c r="O11" s="24" t="n">
        <f aca="false">J11+Rates!$B$15*(J11+I11)+L11+M11</f>
        <v>4376210.35</v>
      </c>
      <c r="P11" s="24" t="n">
        <f aca="false">H11*Rates!$B$8</f>
        <v>3895000</v>
      </c>
      <c r="Q11" s="25" t="str">
        <f aca="false">IF(P11&lt;N11,"MTE","UPS")</f>
        <v>MTE</v>
      </c>
      <c r="R11" s="24" t="n">
        <f aca="false">N11-P11</f>
        <v>101883.066</v>
      </c>
      <c r="S11" s="24" t="n">
        <f aca="false">O11-P11</f>
        <v>481210.35</v>
      </c>
    </row>
    <row r="12" customFormat="false" ht="15" hidden="false" customHeight="false" outlineLevel="0" collapsed="false">
      <c r="A12" s="4" t="s">
        <v>100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7" t="n">
        <f aca="false">SUM(N4:N11)</f>
        <v>36922584.886</v>
      </c>
      <c r="O12" s="27" t="n">
        <f aca="false">SUM(O4:O11)</f>
        <v>40765674.85</v>
      </c>
      <c r="P12" s="27" t="n">
        <f aca="false">SUM(P4:P11)</f>
        <v>33415000</v>
      </c>
      <c r="Q12" s="28" t="str">
        <f aca="false">IF(P12&lt;N12,"MTE","UPS")</f>
        <v>MTE</v>
      </c>
      <c r="R12" s="27" t="n">
        <f aca="false">SUM(R4:R11)</f>
        <v>3507584.886</v>
      </c>
      <c r="S12" s="27" t="n">
        <f aca="false">SUM(S4:S11)</f>
        <v>7350674.85</v>
      </c>
    </row>
    <row r="14" customFormat="false" ht="15" hidden="false" customHeight="false" outlineLevel="0" collapsed="false">
      <c r="A14" s="29" t="s">
        <v>101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</sheetData>
  <mergeCells count="1">
    <mergeCell ref="A14:S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2026-05-22T11:41:11Z</dcterms:created>
  <dc:creator>openpyxl</dc:creator>
  <dc:description/>
  <dc:language>en-US</dc:language>
  <cp:lastModifiedBy/>
  <dcterms:modified xsi:type="dcterms:W3CDTF">2026-05-22T11:41:11Z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